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FA6D5F4-ACBD-4B30-B0C5-E00B011E5F9E}" xr6:coauthVersionLast="47" xr6:coauthVersionMax="47" xr10:uidLastSave="{00000000-0000-0000-0000-000000000000}"/>
  <bookViews>
    <workbookView xWindow="-108" yWindow="-108" windowWidth="23256" windowHeight="12720" tabRatio="780" xr2:uid="{14F0F042-5A5B-49CD-97F9-932A485DD7C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B2" i="1"/>
  <c r="G2" i="1" s="1"/>
  <c r="F2" i="1" l="1"/>
</calcChain>
</file>

<file path=xl/sharedStrings.xml><?xml version="1.0" encoding="utf-8"?>
<sst xmlns="http://schemas.openxmlformats.org/spreadsheetml/2006/main" count="69" uniqueCount="10">
  <si>
    <t>Length (mm)</t>
  </si>
  <si>
    <t>Diameter (mm)</t>
  </si>
  <si>
    <t xml:space="preserve">Thickness (mm) </t>
  </si>
  <si>
    <t>Weight (g)</t>
  </si>
  <si>
    <t>Slenderness</t>
  </si>
  <si>
    <t>Sphericity</t>
  </si>
  <si>
    <t>Small</t>
  </si>
  <si>
    <t>Medium</t>
  </si>
  <si>
    <t>Large</t>
  </si>
  <si>
    <t xml:space="preserve">Size Group by Length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</si>
</sst>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7">
    <dxf>
      <numFmt numFmtId="164" formatCode="0.0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F99"/>
      <color rgb="FFFFFF66"/>
      <color rgb="FFCCECFF"/>
      <color rgb="FFFFCC66"/>
      <color rgb="FFFFCC99"/>
      <color rgb="FFA50021"/>
      <color rgb="FFFF9999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2A983-5030-4552-8E58-709EE249C45E}" name="Table1" displayName="Table1" ref="A1:G63" totalsRowShown="0" dataDxfId="6">
  <autoFilter ref="A1:G63" xr:uid="{7212A983-5030-4552-8E58-709EE249C45E}"/>
  <tableColumns count="7">
    <tableColumn id="1" xr3:uid="{3FFDA702-C438-46D8-B4DE-287010A21C0F}" name="Size Group by Length "/>
    <tableColumn id="2" xr3:uid="{CD8ED5FC-0C6B-41A4-AC38-AAB05E036D06}" name="Length (mm)" dataDxfId="5"/>
    <tableColumn id="3" xr3:uid="{9FAA78D7-858C-41F8-B9AD-5080877EBEE8}" name="Diameter (mm)" dataDxfId="4"/>
    <tableColumn id="4" xr3:uid="{803400FC-733E-453C-B81C-19BC6AA164BC}" name="Thickness (mm) " dataDxfId="3"/>
    <tableColumn id="5" xr3:uid="{76A4A1E8-5FA6-4DB7-8B41-7E6BE2ECAE08}" name="Weight (g)" dataDxfId="2"/>
    <tableColumn id="6" xr3:uid="{EBDCD774-C268-4A33-8FF1-2080B3ED211E}" name="Slenderness" dataDxfId="1">
      <calculatedColumnFormula>B2/C2</calculatedColumnFormula>
    </tableColumn>
    <tableColumn id="7" xr3:uid="{D080B004-19B4-4C87-9CB1-62880ED2EBB0}" name="Sphericity" dataDxfId="0">
      <calculatedColumnFormula>(((B2*C2*D2)^(1/3))/B2)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D03D-2309-40C3-9F41-24AE61CD0338}">
  <dimension ref="A1:J63"/>
  <sheetViews>
    <sheetView tabSelected="1" zoomScale="130" zoomScaleNormal="130" workbookViewId="0">
      <selection activeCell="K12" sqref="K12"/>
    </sheetView>
  </sheetViews>
  <sheetFormatPr defaultRowHeight="14.4" x14ac:dyDescent="0.3"/>
  <sheetData>
    <row r="1" spans="1:10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s="4"/>
    </row>
    <row r="2" spans="1:10" x14ac:dyDescent="0.3">
      <c r="A2" t="s">
        <v>6</v>
      </c>
      <c r="B2" s="1">
        <f>93.4</f>
        <v>93.4</v>
      </c>
      <c r="C2" s="1">
        <v>36</v>
      </c>
      <c r="D2" s="1">
        <v>35.5</v>
      </c>
      <c r="E2" s="1">
        <v>66.400000000000006</v>
      </c>
      <c r="F2" s="2">
        <f t="shared" ref="F2:F33" si="0">B2/C2</f>
        <v>2.5944444444444446</v>
      </c>
      <c r="G2" s="3">
        <f t="shared" ref="G2:G33" si="1">(((B2*C2*D2)^(1/3))/B2)</f>
        <v>0.52716394634985964</v>
      </c>
      <c r="J2" s="4"/>
    </row>
    <row r="3" spans="1:10" x14ac:dyDescent="0.3">
      <c r="A3" t="s">
        <v>6</v>
      </c>
      <c r="B3" s="1">
        <v>98.4</v>
      </c>
      <c r="C3" s="1">
        <v>39.82</v>
      </c>
      <c r="D3" s="1">
        <v>35.54</v>
      </c>
      <c r="E3" s="1">
        <v>79.400000000000006</v>
      </c>
      <c r="F3" s="2">
        <f t="shared" si="0"/>
        <v>2.4711200401808138</v>
      </c>
      <c r="G3" s="3">
        <f t="shared" si="1"/>
        <v>0.52675600360406738</v>
      </c>
      <c r="J3" s="4"/>
    </row>
    <row r="4" spans="1:10" x14ac:dyDescent="0.3">
      <c r="A4" t="s">
        <v>6</v>
      </c>
      <c r="B4" s="1">
        <v>93.64</v>
      </c>
      <c r="C4" s="1">
        <v>36.78</v>
      </c>
      <c r="D4" s="1">
        <v>32.380000000000003</v>
      </c>
      <c r="E4" s="1">
        <v>63.9</v>
      </c>
      <c r="F4" s="2">
        <f t="shared" si="0"/>
        <v>2.5459488852637304</v>
      </c>
      <c r="G4" s="3">
        <f t="shared" si="1"/>
        <v>0.51403014231685651</v>
      </c>
    </row>
    <row r="5" spans="1:10" x14ac:dyDescent="0.3">
      <c r="A5" t="s">
        <v>6</v>
      </c>
      <c r="B5" s="1">
        <v>94.62</v>
      </c>
      <c r="C5" s="1">
        <v>44.72</v>
      </c>
      <c r="D5" s="1">
        <v>33.04</v>
      </c>
      <c r="E5" s="1">
        <v>71.8</v>
      </c>
      <c r="F5" s="2">
        <f t="shared" si="0"/>
        <v>2.115831842576029</v>
      </c>
      <c r="G5" s="3">
        <f t="shared" si="1"/>
        <v>0.54851938705576642</v>
      </c>
    </row>
    <row r="6" spans="1:10" x14ac:dyDescent="0.3">
      <c r="A6" t="s">
        <v>6</v>
      </c>
      <c r="B6" s="1">
        <v>95.98</v>
      </c>
      <c r="C6" s="1">
        <v>37.68</v>
      </c>
      <c r="D6" s="1">
        <v>34.880000000000003</v>
      </c>
      <c r="E6" s="1">
        <v>70.900000000000006</v>
      </c>
      <c r="F6" s="2">
        <f t="shared" si="0"/>
        <v>2.5472399150743099</v>
      </c>
      <c r="G6" s="3">
        <f t="shared" si="1"/>
        <v>0.52252686787036906</v>
      </c>
    </row>
    <row r="7" spans="1:10" x14ac:dyDescent="0.3">
      <c r="A7" t="s">
        <v>6</v>
      </c>
      <c r="B7" s="1">
        <v>96.58</v>
      </c>
      <c r="C7" s="1">
        <v>41.78</v>
      </c>
      <c r="D7" s="1">
        <v>32.520000000000003</v>
      </c>
      <c r="E7" s="1">
        <v>74</v>
      </c>
      <c r="F7" s="2">
        <f t="shared" si="0"/>
        <v>2.3116323599808521</v>
      </c>
      <c r="G7" s="3">
        <f t="shared" si="1"/>
        <v>0.52615639930377234</v>
      </c>
    </row>
    <row r="8" spans="1:10" x14ac:dyDescent="0.3">
      <c r="A8" t="s">
        <v>6</v>
      </c>
      <c r="B8" s="1">
        <v>97.66</v>
      </c>
      <c r="C8" s="1">
        <v>37.58</v>
      </c>
      <c r="D8" s="1">
        <v>33.5</v>
      </c>
      <c r="E8" s="1">
        <v>73.099999999999994</v>
      </c>
      <c r="F8" s="2">
        <f t="shared" si="0"/>
        <v>2.5987227248536455</v>
      </c>
      <c r="G8" s="3">
        <f t="shared" si="1"/>
        <v>0.50916207491422438</v>
      </c>
    </row>
    <row r="9" spans="1:10" x14ac:dyDescent="0.3">
      <c r="A9" t="s">
        <v>6</v>
      </c>
      <c r="B9" s="1">
        <v>96.66</v>
      </c>
      <c r="C9" s="1">
        <v>48.34</v>
      </c>
      <c r="D9" s="1">
        <v>34.54</v>
      </c>
      <c r="E9" s="1">
        <v>79.7</v>
      </c>
      <c r="F9" s="2">
        <f t="shared" si="0"/>
        <v>1.9995862639635911</v>
      </c>
      <c r="G9" s="3">
        <f t="shared" si="1"/>
        <v>0.56326374612802854</v>
      </c>
    </row>
    <row r="10" spans="1:10" x14ac:dyDescent="0.3">
      <c r="A10" t="s">
        <v>6</v>
      </c>
      <c r="B10" s="1">
        <v>97.68</v>
      </c>
      <c r="C10" s="1">
        <v>41.62</v>
      </c>
      <c r="D10" s="1">
        <v>32.72</v>
      </c>
      <c r="E10" s="1">
        <v>72.599999999999994</v>
      </c>
      <c r="F10" s="2">
        <f t="shared" si="0"/>
        <v>2.3469485824123022</v>
      </c>
      <c r="G10" s="3">
        <f t="shared" si="1"/>
        <v>0.52259833652887377</v>
      </c>
    </row>
    <row r="11" spans="1:10" x14ac:dyDescent="0.3">
      <c r="A11" t="s">
        <v>6</v>
      </c>
      <c r="B11" s="1">
        <v>91.48</v>
      </c>
      <c r="C11" s="1">
        <v>38.72</v>
      </c>
      <c r="D11" s="1">
        <v>35</v>
      </c>
      <c r="E11" s="1">
        <v>68.3</v>
      </c>
      <c r="F11" s="2">
        <f t="shared" si="0"/>
        <v>2.3626033057851243</v>
      </c>
      <c r="G11" s="3">
        <f t="shared" si="1"/>
        <v>0.5450675911933992</v>
      </c>
    </row>
    <row r="12" spans="1:10" x14ac:dyDescent="0.3">
      <c r="A12" t="s">
        <v>6</v>
      </c>
      <c r="B12" s="1">
        <v>92.52</v>
      </c>
      <c r="C12" s="1">
        <v>42.48</v>
      </c>
      <c r="D12" s="1">
        <v>33.799999999999997</v>
      </c>
      <c r="E12" s="1">
        <v>70.8</v>
      </c>
      <c r="F12" s="2">
        <f t="shared" si="0"/>
        <v>2.1779661016949152</v>
      </c>
      <c r="G12" s="3">
        <f t="shared" si="1"/>
        <v>0.55149721043952105</v>
      </c>
    </row>
    <row r="13" spans="1:10" x14ac:dyDescent="0.3">
      <c r="A13" t="s">
        <v>6</v>
      </c>
      <c r="B13" s="1">
        <v>93.02</v>
      </c>
      <c r="C13" s="1">
        <v>39.880000000000003</v>
      </c>
      <c r="D13" s="1">
        <v>34.78</v>
      </c>
      <c r="E13" s="1">
        <v>71</v>
      </c>
      <c r="F13" s="2">
        <f t="shared" si="0"/>
        <v>2.3324974924774322</v>
      </c>
      <c r="G13" s="3">
        <f t="shared" si="1"/>
        <v>0.54322200269657039</v>
      </c>
    </row>
    <row r="14" spans="1:10" x14ac:dyDescent="0.3">
      <c r="A14" t="s">
        <v>6</v>
      </c>
      <c r="B14" s="1">
        <v>96.3</v>
      </c>
      <c r="C14" s="1">
        <v>40.44</v>
      </c>
      <c r="D14" s="1">
        <v>31.08</v>
      </c>
      <c r="E14" s="1">
        <v>71.099999999999994</v>
      </c>
      <c r="F14" s="2">
        <f t="shared" si="0"/>
        <v>2.3813056379821957</v>
      </c>
      <c r="G14" s="3">
        <f t="shared" si="1"/>
        <v>0.51366486524663835</v>
      </c>
    </row>
    <row r="15" spans="1:10" x14ac:dyDescent="0.3">
      <c r="A15" t="s">
        <v>6</v>
      </c>
      <c r="B15" s="1">
        <v>90.46</v>
      </c>
      <c r="C15" s="1">
        <v>44.96</v>
      </c>
      <c r="D15" s="1">
        <v>37.28</v>
      </c>
      <c r="E15" s="1">
        <v>90</v>
      </c>
      <c r="F15" s="2">
        <f t="shared" si="0"/>
        <v>2.0120106761565832</v>
      </c>
      <c r="G15" s="3">
        <f t="shared" si="1"/>
        <v>0.5894717723342513</v>
      </c>
    </row>
    <row r="16" spans="1:10" x14ac:dyDescent="0.3">
      <c r="A16" t="s">
        <v>7</v>
      </c>
      <c r="B16" s="1">
        <v>100.28</v>
      </c>
      <c r="C16" s="1">
        <v>42.86</v>
      </c>
      <c r="D16" s="1">
        <v>35.22</v>
      </c>
      <c r="E16" s="1">
        <v>82.3</v>
      </c>
      <c r="F16" s="2">
        <f t="shared" si="0"/>
        <v>2.3397106859542696</v>
      </c>
      <c r="G16" s="3">
        <f t="shared" si="1"/>
        <v>0.53146045612313741</v>
      </c>
    </row>
    <row r="17" spans="1:7" x14ac:dyDescent="0.3">
      <c r="A17" t="s">
        <v>7</v>
      </c>
      <c r="B17" s="1">
        <v>110.78</v>
      </c>
      <c r="C17" s="1">
        <v>48.84</v>
      </c>
      <c r="D17" s="1">
        <v>41.48</v>
      </c>
      <c r="E17" s="1">
        <v>116.5</v>
      </c>
      <c r="F17" s="2">
        <f t="shared" si="0"/>
        <v>2.2682227682227682</v>
      </c>
      <c r="G17" s="3">
        <f t="shared" si="1"/>
        <v>0.54856811425201413</v>
      </c>
    </row>
    <row r="18" spans="1:7" x14ac:dyDescent="0.3">
      <c r="A18" t="s">
        <v>7</v>
      </c>
      <c r="B18" s="1">
        <v>115.44</v>
      </c>
      <c r="C18" s="1">
        <v>51.7</v>
      </c>
      <c r="D18" s="1">
        <v>38.08</v>
      </c>
      <c r="E18" s="1">
        <v>116.7</v>
      </c>
      <c r="F18" s="2">
        <f t="shared" si="0"/>
        <v>2.2328820116054158</v>
      </c>
      <c r="G18" s="3">
        <f t="shared" si="1"/>
        <v>0.52863788311382631</v>
      </c>
    </row>
    <row r="19" spans="1:7" x14ac:dyDescent="0.3">
      <c r="A19" t="s">
        <v>7</v>
      </c>
      <c r="B19" s="1">
        <v>107.52</v>
      </c>
      <c r="C19" s="1">
        <v>52.38</v>
      </c>
      <c r="D19" s="1">
        <v>41.1</v>
      </c>
      <c r="E19" s="1">
        <v>94.5</v>
      </c>
      <c r="F19" s="2">
        <f t="shared" si="0"/>
        <v>2.0526918671248566</v>
      </c>
      <c r="G19" s="3">
        <f t="shared" si="1"/>
        <v>0.57105280376504519</v>
      </c>
    </row>
    <row r="20" spans="1:7" x14ac:dyDescent="0.3">
      <c r="A20" t="s">
        <v>7</v>
      </c>
      <c r="B20" s="1">
        <v>113.12</v>
      </c>
      <c r="C20" s="1">
        <v>45.7</v>
      </c>
      <c r="D20" s="1">
        <v>35.92</v>
      </c>
      <c r="E20" s="1">
        <v>90.1</v>
      </c>
      <c r="F20" s="2">
        <f t="shared" si="0"/>
        <v>2.4752735229759297</v>
      </c>
      <c r="G20" s="3">
        <f t="shared" si="1"/>
        <v>0.50434135206564246</v>
      </c>
    </row>
    <row r="21" spans="1:7" x14ac:dyDescent="0.3">
      <c r="A21" t="s">
        <v>7</v>
      </c>
      <c r="B21" s="1">
        <v>111</v>
      </c>
      <c r="C21" s="1">
        <v>44.08</v>
      </c>
      <c r="D21" s="1">
        <v>39</v>
      </c>
      <c r="E21" s="1">
        <v>94.1</v>
      </c>
      <c r="F21" s="2">
        <f t="shared" si="0"/>
        <v>2.5181488203266791</v>
      </c>
      <c r="G21" s="3">
        <f t="shared" si="1"/>
        <v>0.51866476438846942</v>
      </c>
    </row>
    <row r="22" spans="1:7" x14ac:dyDescent="0.3">
      <c r="A22" t="s">
        <v>7</v>
      </c>
      <c r="B22" s="1">
        <v>118.46</v>
      </c>
      <c r="C22" s="1">
        <v>49.44</v>
      </c>
      <c r="D22" s="1">
        <v>37.28</v>
      </c>
      <c r="E22" s="1">
        <v>113.1</v>
      </c>
      <c r="F22" s="2">
        <f t="shared" si="0"/>
        <v>2.3960355987055015</v>
      </c>
      <c r="G22" s="3">
        <f t="shared" si="1"/>
        <v>0.50831973341198111</v>
      </c>
    </row>
    <row r="23" spans="1:7" x14ac:dyDescent="0.3">
      <c r="A23" t="s">
        <v>7</v>
      </c>
      <c r="B23" s="1">
        <v>118.28</v>
      </c>
      <c r="C23" s="1">
        <v>47.3</v>
      </c>
      <c r="D23" s="1">
        <v>43</v>
      </c>
      <c r="E23" s="1">
        <v>111.4</v>
      </c>
      <c r="F23" s="2">
        <f t="shared" si="0"/>
        <v>2.5006342494714588</v>
      </c>
      <c r="G23" s="3">
        <f t="shared" si="1"/>
        <v>0.52581824930670717</v>
      </c>
    </row>
    <row r="24" spans="1:7" x14ac:dyDescent="0.3">
      <c r="A24" t="s">
        <v>7</v>
      </c>
      <c r="B24" s="1">
        <v>110.38</v>
      </c>
      <c r="C24" s="1">
        <v>46.8</v>
      </c>
      <c r="D24" s="1">
        <v>41</v>
      </c>
      <c r="E24" s="1">
        <v>110.9</v>
      </c>
      <c r="F24" s="2">
        <f t="shared" si="0"/>
        <v>2.3585470085470086</v>
      </c>
      <c r="G24" s="3">
        <f t="shared" si="1"/>
        <v>0.54002803966575585</v>
      </c>
    </row>
    <row r="25" spans="1:7" x14ac:dyDescent="0.3">
      <c r="A25" t="s">
        <v>7</v>
      </c>
      <c r="B25" s="1">
        <v>117.1</v>
      </c>
      <c r="C25" s="1">
        <v>47</v>
      </c>
      <c r="D25" s="1">
        <v>41.48</v>
      </c>
      <c r="E25" s="1">
        <v>119.3</v>
      </c>
      <c r="F25" s="2">
        <f t="shared" si="0"/>
        <v>2.4914893617021274</v>
      </c>
      <c r="G25" s="3">
        <f t="shared" si="1"/>
        <v>0.52192440546050167</v>
      </c>
    </row>
    <row r="26" spans="1:7" x14ac:dyDescent="0.3">
      <c r="A26" t="s">
        <v>7</v>
      </c>
      <c r="B26" s="1">
        <v>117.2</v>
      </c>
      <c r="C26" s="1">
        <v>47.7</v>
      </c>
      <c r="D26" s="1">
        <v>36.06</v>
      </c>
      <c r="E26" s="1">
        <v>102.3</v>
      </c>
      <c r="F26" s="2">
        <f t="shared" si="0"/>
        <v>2.4570230607966455</v>
      </c>
      <c r="G26" s="3">
        <f t="shared" si="1"/>
        <v>0.50029898986990018</v>
      </c>
    </row>
    <row r="27" spans="1:7" x14ac:dyDescent="0.3">
      <c r="A27" t="s">
        <v>7</v>
      </c>
      <c r="B27" s="1">
        <v>113.8</v>
      </c>
      <c r="C27" s="1">
        <v>51.6</v>
      </c>
      <c r="D27" s="1">
        <v>39</v>
      </c>
      <c r="E27" s="1">
        <v>96.3</v>
      </c>
      <c r="F27" s="2">
        <f t="shared" si="0"/>
        <v>2.2054263565891472</v>
      </c>
      <c r="G27" s="3">
        <f t="shared" si="1"/>
        <v>0.53762145865202748</v>
      </c>
    </row>
    <row r="28" spans="1:7" x14ac:dyDescent="0.3">
      <c r="A28" t="s">
        <v>7</v>
      </c>
      <c r="B28" s="1">
        <v>118.7</v>
      </c>
      <c r="C28" s="1">
        <v>47.98</v>
      </c>
      <c r="D28" s="1">
        <v>42.6</v>
      </c>
      <c r="E28" s="1">
        <v>124.6</v>
      </c>
      <c r="F28" s="2">
        <f t="shared" si="0"/>
        <v>2.4739474781158819</v>
      </c>
      <c r="G28" s="3">
        <f t="shared" si="1"/>
        <v>0.52543960135407952</v>
      </c>
    </row>
    <row r="29" spans="1:7" x14ac:dyDescent="0.3">
      <c r="A29" t="s">
        <v>7</v>
      </c>
      <c r="B29" s="1">
        <v>116.3</v>
      </c>
      <c r="C29" s="1">
        <v>46.58</v>
      </c>
      <c r="D29" s="1">
        <v>38</v>
      </c>
      <c r="E29" s="1">
        <v>117.7</v>
      </c>
      <c r="F29" s="2">
        <f t="shared" si="0"/>
        <v>2.4967797337913269</v>
      </c>
      <c r="G29" s="3">
        <f t="shared" si="1"/>
        <v>0.50770084214294675</v>
      </c>
    </row>
    <row r="30" spans="1:7" x14ac:dyDescent="0.3">
      <c r="A30" t="s">
        <v>7</v>
      </c>
      <c r="B30" s="1">
        <v>119</v>
      </c>
      <c r="C30" s="1">
        <v>47.34</v>
      </c>
      <c r="D30" s="1">
        <v>36.14</v>
      </c>
      <c r="E30" s="1">
        <v>115.8</v>
      </c>
      <c r="F30" s="2">
        <f t="shared" si="0"/>
        <v>2.5137304604985213</v>
      </c>
      <c r="G30" s="3">
        <f t="shared" si="1"/>
        <v>0.49435715740664338</v>
      </c>
    </row>
    <row r="31" spans="1:7" x14ac:dyDescent="0.3">
      <c r="A31" t="s">
        <v>7</v>
      </c>
      <c r="B31" s="1">
        <v>113.98</v>
      </c>
      <c r="C31" s="1">
        <v>49.44</v>
      </c>
      <c r="D31" s="1">
        <v>34.54</v>
      </c>
      <c r="E31" s="1">
        <v>110.5</v>
      </c>
      <c r="F31" s="2">
        <f t="shared" si="0"/>
        <v>2.3054207119741101</v>
      </c>
      <c r="G31" s="3">
        <f t="shared" si="1"/>
        <v>0.50844950634430963</v>
      </c>
    </row>
    <row r="32" spans="1:7" x14ac:dyDescent="0.3">
      <c r="A32" t="s">
        <v>7</v>
      </c>
      <c r="B32" s="1">
        <v>117.38</v>
      </c>
      <c r="C32" s="1">
        <v>50.3</v>
      </c>
      <c r="D32" s="1">
        <v>34.5</v>
      </c>
      <c r="E32" s="1">
        <v>112.8</v>
      </c>
      <c r="F32" s="2">
        <f t="shared" si="0"/>
        <v>2.3335984095427436</v>
      </c>
      <c r="G32" s="3">
        <f t="shared" si="1"/>
        <v>0.50126373977941063</v>
      </c>
    </row>
    <row r="33" spans="1:7" x14ac:dyDescent="0.3">
      <c r="A33" t="s">
        <v>7</v>
      </c>
      <c r="B33" s="1">
        <v>116.4</v>
      </c>
      <c r="C33" s="1">
        <v>48.96</v>
      </c>
      <c r="D33" s="1">
        <v>33.94</v>
      </c>
      <c r="E33" s="1">
        <v>110.2</v>
      </c>
      <c r="F33" s="2">
        <f t="shared" si="0"/>
        <v>2.3774509803921569</v>
      </c>
      <c r="G33" s="3">
        <f t="shared" si="1"/>
        <v>0.49683909514486979</v>
      </c>
    </row>
    <row r="34" spans="1:7" x14ac:dyDescent="0.3">
      <c r="A34" t="s">
        <v>7</v>
      </c>
      <c r="B34" s="1">
        <v>117.76</v>
      </c>
      <c r="C34" s="1">
        <v>44.8</v>
      </c>
      <c r="D34" s="1">
        <v>39.22</v>
      </c>
      <c r="E34" s="1">
        <v>125.1</v>
      </c>
      <c r="F34" s="2">
        <f t="shared" ref="F34:F63" si="2">B34/C34</f>
        <v>2.628571428571429</v>
      </c>
      <c r="G34" s="3">
        <f t="shared" ref="G34:G63" si="3">(((B34*C34*D34)^(1/3))/B34)</f>
        <v>0.50226163158996717</v>
      </c>
    </row>
    <row r="35" spans="1:7" x14ac:dyDescent="0.3">
      <c r="A35" t="s">
        <v>7</v>
      </c>
      <c r="B35" s="1">
        <v>119.6</v>
      </c>
      <c r="C35" s="1">
        <v>43.08</v>
      </c>
      <c r="D35" s="1">
        <v>34.08</v>
      </c>
      <c r="E35" s="1">
        <v>105.7</v>
      </c>
      <c r="F35" s="2">
        <f t="shared" si="2"/>
        <v>2.7762302692664811</v>
      </c>
      <c r="G35" s="3">
        <f t="shared" si="3"/>
        <v>0.46820671762450994</v>
      </c>
    </row>
    <row r="36" spans="1:7" x14ac:dyDescent="0.3">
      <c r="A36" t="s">
        <v>7</v>
      </c>
      <c r="B36" s="1">
        <v>113.2</v>
      </c>
      <c r="C36" s="1">
        <v>48.64</v>
      </c>
      <c r="D36" s="1">
        <v>41.58</v>
      </c>
      <c r="E36" s="1">
        <v>109.8</v>
      </c>
      <c r="F36" s="2">
        <f t="shared" si="2"/>
        <v>2.3273026315789473</v>
      </c>
      <c r="G36" s="3">
        <f t="shared" si="3"/>
        <v>0.54041624957475576</v>
      </c>
    </row>
    <row r="37" spans="1:7" x14ac:dyDescent="0.3">
      <c r="A37" t="s">
        <v>7</v>
      </c>
      <c r="B37" s="1">
        <v>113.1</v>
      </c>
      <c r="C37" s="1">
        <v>44.14</v>
      </c>
      <c r="D37" s="1">
        <v>38.68</v>
      </c>
      <c r="E37" s="1">
        <v>118.1</v>
      </c>
      <c r="F37" s="2">
        <f t="shared" si="2"/>
        <v>2.5623017671046666</v>
      </c>
      <c r="G37" s="3">
        <f t="shared" si="3"/>
        <v>0.51105133619149046</v>
      </c>
    </row>
    <row r="38" spans="1:7" x14ac:dyDescent="0.3">
      <c r="A38" t="s">
        <v>7</v>
      </c>
      <c r="B38" s="1">
        <v>118.36</v>
      </c>
      <c r="C38" s="1">
        <v>48</v>
      </c>
      <c r="D38" s="1">
        <v>36.880000000000003</v>
      </c>
      <c r="E38" s="1">
        <v>116.6</v>
      </c>
      <c r="F38" s="2">
        <f t="shared" si="2"/>
        <v>2.4658333333333333</v>
      </c>
      <c r="G38" s="3">
        <f t="shared" si="3"/>
        <v>0.50181165689615426</v>
      </c>
    </row>
    <row r="39" spans="1:7" x14ac:dyDescent="0.3">
      <c r="A39" t="s">
        <v>7</v>
      </c>
      <c r="B39" s="1">
        <v>119.4</v>
      </c>
      <c r="C39" s="1">
        <v>47.32</v>
      </c>
      <c r="D39" s="1">
        <v>40.58</v>
      </c>
      <c r="E39" s="1">
        <v>134.9</v>
      </c>
      <c r="F39" s="2">
        <f t="shared" si="2"/>
        <v>2.5232459847844466</v>
      </c>
      <c r="G39" s="3">
        <f t="shared" si="3"/>
        <v>0.51260484695447928</v>
      </c>
    </row>
    <row r="40" spans="1:7" x14ac:dyDescent="0.3">
      <c r="A40" t="s">
        <v>7</v>
      </c>
      <c r="B40" s="1">
        <v>107.06</v>
      </c>
      <c r="C40" s="1">
        <v>38</v>
      </c>
      <c r="D40" s="1">
        <v>36.94</v>
      </c>
      <c r="E40" s="1">
        <v>92.7</v>
      </c>
      <c r="F40" s="2">
        <f t="shared" si="2"/>
        <v>2.8173684210526315</v>
      </c>
      <c r="G40" s="3">
        <f t="shared" si="3"/>
        <v>0.49660223508430329</v>
      </c>
    </row>
    <row r="41" spans="1:7" x14ac:dyDescent="0.3">
      <c r="A41" t="s">
        <v>8</v>
      </c>
      <c r="B41" s="1">
        <v>122.22</v>
      </c>
      <c r="C41" s="1">
        <v>51.9</v>
      </c>
      <c r="D41" s="1">
        <v>41.62</v>
      </c>
      <c r="E41" s="1">
        <v>125.8</v>
      </c>
      <c r="F41" s="2">
        <f t="shared" si="2"/>
        <v>2.3549132947976879</v>
      </c>
      <c r="G41" s="3">
        <f t="shared" si="3"/>
        <v>0.52488193401846051</v>
      </c>
    </row>
    <row r="42" spans="1:7" x14ac:dyDescent="0.3">
      <c r="A42" t="s">
        <v>8</v>
      </c>
      <c r="B42" s="1">
        <v>121.1</v>
      </c>
      <c r="C42" s="1">
        <v>52.52</v>
      </c>
      <c r="D42" s="1">
        <v>39.700000000000003</v>
      </c>
      <c r="E42" s="1">
        <v>123</v>
      </c>
      <c r="F42" s="2">
        <f t="shared" si="2"/>
        <v>2.3057882711348054</v>
      </c>
      <c r="G42" s="3">
        <f t="shared" si="3"/>
        <v>0.52192605685726468</v>
      </c>
    </row>
    <row r="43" spans="1:7" x14ac:dyDescent="0.3">
      <c r="A43" t="s">
        <v>8</v>
      </c>
      <c r="B43" s="1">
        <v>124.2</v>
      </c>
      <c r="C43" s="1">
        <v>45.16</v>
      </c>
      <c r="D43" s="1">
        <v>36.28</v>
      </c>
      <c r="E43" s="1">
        <v>119.8</v>
      </c>
      <c r="F43" s="2">
        <f t="shared" si="2"/>
        <v>2.7502214348981404</v>
      </c>
      <c r="G43" s="3">
        <f t="shared" si="3"/>
        <v>0.4735792586317622</v>
      </c>
    </row>
    <row r="44" spans="1:7" x14ac:dyDescent="0.3">
      <c r="A44" t="s">
        <v>8</v>
      </c>
      <c r="B44" s="1">
        <v>126.38</v>
      </c>
      <c r="C44" s="1">
        <v>47.1</v>
      </c>
      <c r="D44" s="1">
        <v>38</v>
      </c>
      <c r="E44" s="1">
        <v>125.5</v>
      </c>
      <c r="F44" s="2">
        <f t="shared" si="2"/>
        <v>2.6832271762208064</v>
      </c>
      <c r="G44" s="3">
        <f t="shared" si="3"/>
        <v>0.48211347179293446</v>
      </c>
    </row>
    <row r="45" spans="1:7" x14ac:dyDescent="0.3">
      <c r="A45" t="s">
        <v>8</v>
      </c>
      <c r="B45" s="1">
        <v>123.36</v>
      </c>
      <c r="C45" s="1">
        <v>47</v>
      </c>
      <c r="D45" s="1">
        <v>38.5</v>
      </c>
      <c r="E45" s="1">
        <v>126.8</v>
      </c>
      <c r="F45" s="2">
        <f t="shared" si="2"/>
        <v>2.6246808510638298</v>
      </c>
      <c r="G45" s="3">
        <f t="shared" si="3"/>
        <v>0.49174122865359565</v>
      </c>
    </row>
    <row r="46" spans="1:7" x14ac:dyDescent="0.3">
      <c r="A46" t="s">
        <v>8</v>
      </c>
      <c r="B46" s="1">
        <v>135.24</v>
      </c>
      <c r="C46" s="1">
        <v>57.92</v>
      </c>
      <c r="D46" s="1">
        <v>47.56</v>
      </c>
      <c r="E46" s="1">
        <v>181</v>
      </c>
      <c r="F46" s="2">
        <f t="shared" si="2"/>
        <v>2.3349447513812156</v>
      </c>
      <c r="G46" s="3">
        <f t="shared" si="3"/>
        <v>0.53205111579937947</v>
      </c>
    </row>
    <row r="47" spans="1:7" x14ac:dyDescent="0.3">
      <c r="A47" t="s">
        <v>8</v>
      </c>
      <c r="B47" s="1">
        <v>132.68</v>
      </c>
      <c r="C47" s="1">
        <v>61</v>
      </c>
      <c r="D47" s="1">
        <v>45.84</v>
      </c>
      <c r="E47" s="1">
        <v>180</v>
      </c>
      <c r="F47" s="2">
        <f t="shared" si="2"/>
        <v>2.175081967213115</v>
      </c>
      <c r="G47" s="3">
        <f t="shared" si="3"/>
        <v>0.54156988437033471</v>
      </c>
    </row>
    <row r="48" spans="1:7" x14ac:dyDescent="0.3">
      <c r="A48" t="s">
        <v>8</v>
      </c>
      <c r="B48" s="1">
        <v>134.41999999999999</v>
      </c>
      <c r="C48" s="1">
        <v>61.42</v>
      </c>
      <c r="D48" s="1">
        <v>47.14</v>
      </c>
      <c r="E48" s="1">
        <v>182.2</v>
      </c>
      <c r="F48" s="2">
        <f t="shared" si="2"/>
        <v>2.1885379355258872</v>
      </c>
      <c r="G48" s="3">
        <f t="shared" si="3"/>
        <v>0.54315510957081226</v>
      </c>
    </row>
    <row r="49" spans="1:7" x14ac:dyDescent="0.3">
      <c r="A49" t="s">
        <v>8</v>
      </c>
      <c r="B49" s="1">
        <v>133.56</v>
      </c>
      <c r="C49" s="1">
        <v>63.88</v>
      </c>
      <c r="D49" s="1">
        <v>56.36</v>
      </c>
      <c r="E49" s="1">
        <v>200.4</v>
      </c>
      <c r="F49" s="2">
        <f t="shared" si="2"/>
        <v>2.0907952410770192</v>
      </c>
      <c r="G49" s="3">
        <f t="shared" si="3"/>
        <v>0.58658059315722211</v>
      </c>
    </row>
    <row r="50" spans="1:7" x14ac:dyDescent="0.3">
      <c r="A50" t="s">
        <v>8</v>
      </c>
      <c r="B50" s="1">
        <v>135.63999999999999</v>
      </c>
      <c r="C50" s="1">
        <v>58.26</v>
      </c>
      <c r="D50" s="1">
        <v>48.56</v>
      </c>
      <c r="E50" s="1">
        <v>188.7</v>
      </c>
      <c r="F50" s="2">
        <f t="shared" si="2"/>
        <v>2.3281840027463097</v>
      </c>
      <c r="G50" s="3">
        <f t="shared" si="3"/>
        <v>0.53574467782396817</v>
      </c>
    </row>
    <row r="51" spans="1:7" x14ac:dyDescent="0.3">
      <c r="A51" t="s">
        <v>8</v>
      </c>
      <c r="B51" s="1">
        <v>137.18</v>
      </c>
      <c r="C51" s="1">
        <v>53.16</v>
      </c>
      <c r="D51" s="1">
        <v>47.32</v>
      </c>
      <c r="E51" s="1">
        <v>185</v>
      </c>
      <c r="F51" s="2">
        <f t="shared" si="2"/>
        <v>2.5805116629044398</v>
      </c>
      <c r="G51" s="3">
        <f t="shared" si="3"/>
        <v>0.5113081364670985</v>
      </c>
    </row>
    <row r="52" spans="1:7" x14ac:dyDescent="0.3">
      <c r="A52" t="s">
        <v>8</v>
      </c>
      <c r="B52" s="1">
        <v>137.18</v>
      </c>
      <c r="C52" s="1">
        <v>60.74</v>
      </c>
      <c r="D52" s="1">
        <v>48</v>
      </c>
      <c r="E52" s="1">
        <v>186</v>
      </c>
      <c r="F52" s="2">
        <f t="shared" si="2"/>
        <v>2.2584787619361211</v>
      </c>
      <c r="G52" s="3">
        <f t="shared" si="3"/>
        <v>0.53708720868529869</v>
      </c>
    </row>
    <row r="53" spans="1:7" x14ac:dyDescent="0.3">
      <c r="A53" t="s">
        <v>8</v>
      </c>
      <c r="B53" s="1">
        <v>133.22</v>
      </c>
      <c r="C53" s="1">
        <v>63.18</v>
      </c>
      <c r="D53" s="1">
        <v>44.14</v>
      </c>
      <c r="E53" s="1">
        <v>173.3</v>
      </c>
      <c r="F53" s="2">
        <f t="shared" si="2"/>
        <v>2.1085786641342197</v>
      </c>
      <c r="G53" s="3">
        <f t="shared" si="3"/>
        <v>0.53962371885117755</v>
      </c>
    </row>
    <row r="54" spans="1:7" x14ac:dyDescent="0.3">
      <c r="A54" t="s">
        <v>8</v>
      </c>
      <c r="B54" s="1">
        <v>133.13999999999999</v>
      </c>
      <c r="C54" s="1">
        <v>60.72</v>
      </c>
      <c r="D54" s="1">
        <v>51.18</v>
      </c>
      <c r="E54" s="1">
        <v>187.1</v>
      </c>
      <c r="F54" s="2">
        <f t="shared" si="2"/>
        <v>2.1926877470355728</v>
      </c>
      <c r="G54" s="3">
        <f t="shared" si="3"/>
        <v>0.55967809950337299</v>
      </c>
    </row>
    <row r="55" spans="1:7" x14ac:dyDescent="0.3">
      <c r="A55" t="s">
        <v>8</v>
      </c>
      <c r="B55" s="1">
        <v>136.62</v>
      </c>
      <c r="C55" s="1">
        <v>63.18</v>
      </c>
      <c r="D55" s="1">
        <v>47.94</v>
      </c>
      <c r="E55" s="1">
        <v>186</v>
      </c>
      <c r="F55" s="2">
        <f t="shared" si="2"/>
        <v>2.1623931623931623</v>
      </c>
      <c r="G55" s="3">
        <f t="shared" si="3"/>
        <v>0.54544340674713609</v>
      </c>
    </row>
    <row r="56" spans="1:7" x14ac:dyDescent="0.3">
      <c r="A56" t="s">
        <v>8</v>
      </c>
      <c r="B56" s="1">
        <v>131.38</v>
      </c>
      <c r="C56" s="1">
        <v>59.24</v>
      </c>
      <c r="D56" s="1">
        <v>44.82</v>
      </c>
      <c r="E56" s="1">
        <v>168.7</v>
      </c>
      <c r="F56" s="2">
        <f t="shared" si="2"/>
        <v>2.2177582714382171</v>
      </c>
      <c r="G56" s="3">
        <f t="shared" si="3"/>
        <v>0.53580833147948281</v>
      </c>
    </row>
    <row r="57" spans="1:7" x14ac:dyDescent="0.3">
      <c r="A57" t="s">
        <v>8</v>
      </c>
      <c r="B57" s="1">
        <v>132.86000000000001</v>
      </c>
      <c r="C57" s="1">
        <v>52.64</v>
      </c>
      <c r="D57" s="1">
        <v>53</v>
      </c>
      <c r="E57" s="1">
        <v>183.5</v>
      </c>
      <c r="F57" s="2">
        <f t="shared" si="2"/>
        <v>2.5239361702127661</v>
      </c>
      <c r="G57" s="3">
        <f t="shared" si="3"/>
        <v>0.54067267080688086</v>
      </c>
    </row>
    <row r="58" spans="1:7" x14ac:dyDescent="0.3">
      <c r="A58" t="s">
        <v>8</v>
      </c>
      <c r="B58" s="1">
        <v>138.72</v>
      </c>
      <c r="C58" s="1">
        <v>63.14</v>
      </c>
      <c r="D58" s="1">
        <v>51.22</v>
      </c>
      <c r="E58" s="1">
        <v>194.6</v>
      </c>
      <c r="F58" s="2">
        <f t="shared" si="2"/>
        <v>2.1970224897054167</v>
      </c>
      <c r="G58" s="3">
        <f t="shared" si="3"/>
        <v>0.55185120747238958</v>
      </c>
    </row>
    <row r="59" spans="1:7" x14ac:dyDescent="0.3">
      <c r="A59" t="s">
        <v>8</v>
      </c>
      <c r="B59" s="1">
        <v>127.72</v>
      </c>
      <c r="C59" s="1">
        <v>54.82</v>
      </c>
      <c r="D59" s="1">
        <v>55.12</v>
      </c>
      <c r="E59" s="1">
        <v>177.5</v>
      </c>
      <c r="F59" s="2">
        <f t="shared" si="2"/>
        <v>2.3298066399124409</v>
      </c>
      <c r="G59" s="3">
        <f t="shared" si="3"/>
        <v>0.57004631178731113</v>
      </c>
    </row>
    <row r="60" spans="1:7" x14ac:dyDescent="0.3">
      <c r="A60" t="s">
        <v>8</v>
      </c>
      <c r="B60" s="1">
        <v>132.52000000000001</v>
      </c>
      <c r="C60" s="1">
        <v>60.9</v>
      </c>
      <c r="D60" s="1">
        <v>45.18</v>
      </c>
      <c r="E60" s="1">
        <v>174.1</v>
      </c>
      <c r="F60" s="2">
        <f t="shared" si="2"/>
        <v>2.1760262725779969</v>
      </c>
      <c r="G60" s="3">
        <f t="shared" si="3"/>
        <v>0.5390969667562483</v>
      </c>
    </row>
    <row r="61" spans="1:7" x14ac:dyDescent="0.3">
      <c r="A61" t="s">
        <v>8</v>
      </c>
      <c r="B61" s="1">
        <v>135.74</v>
      </c>
      <c r="C61" s="1">
        <v>61.12</v>
      </c>
      <c r="D61" s="1">
        <v>44.84</v>
      </c>
      <c r="E61" s="1">
        <v>173.3</v>
      </c>
      <c r="F61" s="2">
        <f t="shared" si="2"/>
        <v>2.2208769633507854</v>
      </c>
      <c r="G61" s="3">
        <f t="shared" si="3"/>
        <v>0.52983960702262822</v>
      </c>
    </row>
    <row r="62" spans="1:7" x14ac:dyDescent="0.3">
      <c r="A62" t="s">
        <v>8</v>
      </c>
      <c r="B62" s="1">
        <v>136.69999999999999</v>
      </c>
      <c r="C62" s="1">
        <v>62.28</v>
      </c>
      <c r="D62" s="1">
        <v>44.74</v>
      </c>
      <c r="E62" s="1">
        <v>181</v>
      </c>
      <c r="F62" s="2">
        <f t="shared" si="2"/>
        <v>2.194926140012845</v>
      </c>
      <c r="G62" s="3">
        <f t="shared" si="3"/>
        <v>0.53027666732837064</v>
      </c>
    </row>
    <row r="63" spans="1:7" x14ac:dyDescent="0.3">
      <c r="A63" t="s">
        <v>8</v>
      </c>
      <c r="B63" s="1">
        <v>131.54</v>
      </c>
      <c r="C63" s="1">
        <v>54.84</v>
      </c>
      <c r="D63" s="1">
        <v>49.8</v>
      </c>
      <c r="E63" s="1">
        <v>179.6</v>
      </c>
      <c r="F63" s="2">
        <f t="shared" si="2"/>
        <v>2.398614150255288</v>
      </c>
      <c r="G63" s="3">
        <f t="shared" si="3"/>
        <v>0.5404269993586539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11710</dc:creator>
  <cp:lastModifiedBy>11710</cp:lastModifiedBy>
  <dcterms:created xsi:type="dcterms:W3CDTF">2026-02-23T03:20:59Z</dcterms:created>
  <dcterms:modified xsi:type="dcterms:W3CDTF">2026-02-23T14:04:24Z</dcterms:modified>
</cp:coreProperties>
</file>